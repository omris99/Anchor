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omrishtruzer/Downloads/"/>
    </mc:Choice>
  </mc:AlternateContent>
  <xr:revisionPtr revIDLastSave="0" documentId="13_ncr:1_{117DA1B7-939E-7442-AD98-0F9A8490F5A8}" xr6:coauthVersionLast="47" xr6:coauthVersionMax="47" xr10:uidLastSave="{00000000-0000-0000-0000-000000000000}"/>
  <bookViews>
    <workbookView xWindow="0" yWindow="600" windowWidth="28800" windowHeight="15860" xr2:uid="{00000000-000D-0000-FFFF-FFFF00000000}"/>
  </bookViews>
  <sheets>
    <sheet name="WBS - תרשים עץ" sheetId="1" r:id="rId1"/>
    <sheet name="לוח זמנים - גאנט" sheetId="2" r:id="rId2"/>
    <sheet name="תקציב" sheetId="3" r:id="rId3"/>
    <sheet name="אבני דרך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" l="1"/>
  <c r="K20" i="3" s="1"/>
  <c r="K21" i="3" s="1"/>
  <c r="L19" i="3"/>
  <c r="N19" i="3"/>
  <c r="M19" i="3"/>
  <c r="O17" i="3"/>
  <c r="C19" i="3"/>
  <c r="O19" i="3" s="1"/>
  <c r="J19" i="3"/>
  <c r="I19" i="3"/>
  <c r="H19" i="3"/>
  <c r="G19" i="3"/>
  <c r="G20" i="3" s="1"/>
  <c r="F19" i="3"/>
  <c r="E20" i="3"/>
  <c r="L20" i="3"/>
  <c r="N20" i="3"/>
  <c r="O16" i="3"/>
  <c r="O11" i="3"/>
  <c r="O4" i="3"/>
  <c r="O5" i="3"/>
  <c r="O8" i="3"/>
  <c r="O9" i="3"/>
  <c r="O6" i="3"/>
  <c r="F20" i="3"/>
  <c r="H20" i="3"/>
  <c r="J20" i="3"/>
  <c r="D20" i="3"/>
  <c r="O14" i="3"/>
  <c r="O12" i="3"/>
  <c r="C20" i="3" l="1"/>
  <c r="C21" i="3" s="1"/>
  <c r="N21" i="3"/>
  <c r="L21" i="3"/>
  <c r="M20" i="3"/>
  <c r="M21" i="3" s="1"/>
  <c r="J21" i="3"/>
  <c r="H21" i="3"/>
  <c r="I21" i="3"/>
  <c r="F21" i="3"/>
  <c r="E21" i="3"/>
  <c r="G21" i="3"/>
  <c r="D21" i="3"/>
  <c r="O20" i="3"/>
  <c r="O21" i="3" l="1"/>
</calcChain>
</file>

<file path=xl/sharedStrings.xml><?xml version="1.0" encoding="utf-8"?>
<sst xmlns="http://schemas.openxmlformats.org/spreadsheetml/2006/main" count="366" uniqueCount="279">
  <si>
    <t>Anchor – תרשים פירוק עבודה (WBS)</t>
  </si>
  <si>
    <t>שלב 1: הגדרת תכולת העבודה הנדרשת – מיזם: אפליקציית שעון חכם לגיל השלישי</t>
  </si>
  <si>
    <t>#</t>
  </si>
  <si>
    <t>משימת-על (Level 1)</t>
  </si>
  <si>
    <t>תת-משימה (Level 2)</t>
  </si>
  <si>
    <t>משימה בסיסית (Level 3)</t>
  </si>
  <si>
    <t>תיאור / פירוט</t>
  </si>
  <si>
    <t>אחראי</t>
  </si>
  <si>
    <t>זמן (שבועות)</t>
  </si>
  <si>
    <t>עלות (₪)</t>
  </si>
  <si>
    <t>1</t>
  </si>
  <si>
    <t>פיתוח אפליקציית שעון (MVP)</t>
  </si>
  <si>
    <t>פיתוח כל רכיבי האפליקציה לשעון Wear OS</t>
  </si>
  <si>
    <t>1.1</t>
  </si>
  <si>
    <t>הגדרת דרישות מוצר</t>
  </si>
  <si>
    <t>כתיבת PRD מלא, פיצ׳רים, KPIs</t>
  </si>
  <si>
    <t>1.1.1</t>
  </si>
  <si>
    <t>כתיבת מסמך PRD</t>
  </si>
  <si>
    <t>דרישות פונקציונליות וטכניות</t>
  </si>
  <si>
    <t>2</t>
  </si>
  <si>
    <t>0</t>
  </si>
  <si>
    <t>1.1.2</t>
  </si>
  <si>
    <t>הגדרת פיצ׳רים ותעדוף (MoSCoW)</t>
  </si>
  <si>
    <t>Must/Should/Nice-to-have</t>
  </si>
  <si>
    <t>1.1.3</t>
  </si>
  <si>
    <t>הגדרת KPIs</t>
  </si>
  <si>
    <t>מדדי הצלחה ומדדי שימוש</t>
  </si>
  <si>
    <t>0.5</t>
  </si>
  <si>
    <t>1.2</t>
  </si>
  <si>
    <t>עיצוב UX/UI</t>
  </si>
  <si>
    <t>תכנון חוויית משתמש וממשק גרפי</t>
  </si>
  <si>
    <t>1.2.1</t>
  </si>
  <si>
    <t>בניית פרסונות משתמש</t>
  </si>
  <si>
    <t>פרופיל קשיש + בן משפחה</t>
  </si>
  <si>
    <t>1.2.2</t>
  </si>
  <si>
    <t>בניית Wireframes לשעון</t>
  </si>
  <si>
    <t>שלד מסכי אפליקציית שעון</t>
  </si>
  <si>
    <t>1.2.3</t>
  </si>
  <si>
    <t>בניית Wireframes לדשבורד</t>
  </si>
  <si>
    <t>שלד מסכי אפליקציית מובייל משפחה</t>
  </si>
  <si>
    <t>1.2.4</t>
  </si>
  <si>
    <t>עיצוב ממשק גרפי (UI) – שעון</t>
  </si>
  <si>
    <t>עיצוב סופי מסכים, Watch Face</t>
  </si>
  <si>
    <t>3</t>
  </si>
  <si>
    <t>1.2.5</t>
  </si>
  <si>
    <t>עיצוב ממשק גרפי (UI) – דשבורד</t>
  </si>
  <si>
    <t>עיצוב סופי אפליקציית מובייל</t>
  </si>
  <si>
    <t>1.3</t>
  </si>
  <si>
    <t>1.3.1</t>
  </si>
  <si>
    <t>בניית ארכיטקטורת מערכת</t>
  </si>
  <si>
    <t>Diagram, API design, DB schema</t>
  </si>
  <si>
    <t>1.3.2</t>
  </si>
  <si>
    <t>הקמת תשתית AWS</t>
  </si>
  <si>
    <t>Cloud infra, S3, Lambda, RDS</t>
  </si>
  <si>
    <t>500</t>
  </si>
  <si>
    <t>1.3.3</t>
  </si>
  <si>
    <t>הגדרת מבנה DB</t>
  </si>
  <si>
    <t>User, Health Data, Events tables</t>
  </si>
  <si>
    <t>פיתוח Backend</t>
  </si>
  <si>
    <t>1.4.2</t>
  </si>
  <si>
    <t>מודול אימות והרשמה (Auth)</t>
  </si>
  <si>
    <t>JWT, MFA, session management</t>
  </si>
  <si>
    <t>1.4.4</t>
  </si>
  <si>
    <t>מודול התראות ו-Push Notifications</t>
  </si>
  <si>
    <t>FCM/APNs, emergency alerts</t>
  </si>
  <si>
    <t>1.4.5</t>
  </si>
  <si>
    <t>External AI API integration</t>
  </si>
  <si>
    <t>2000</t>
  </si>
  <si>
    <t>1.5</t>
  </si>
  <si>
    <t>פיתוח אפליקציית שעון (Wear OS)</t>
  </si>
  <si>
    <t>קוד Kotlin, Watch Face, חיישנים</t>
  </si>
  <si>
    <t>1.5.1</t>
  </si>
  <si>
    <t>הגדרת Watch Face מותאם</t>
  </si>
  <si>
    <t>UI גדול, כפתורים נגישים לקשישים</t>
  </si>
  <si>
    <t>1.5.2</t>
  </si>
  <si>
    <t>אינטגרציה עם Health Services API</t>
  </si>
  <si>
    <t>Heart rate, GPS, accelerometer</t>
  </si>
  <si>
    <t>1.5.4</t>
  </si>
  <si>
    <t>מימוש כפתור SOS</t>
  </si>
  <si>
    <t>Emergency trigger + 10s grace period</t>
  </si>
  <si>
    <t>1.5.5</t>
  </si>
  <si>
    <t>מימוש תזכורות (תרופות, שתייה)</t>
  </si>
  <si>
    <t>Scheduled reminders on watch</t>
  </si>
  <si>
    <t>1.5.6</t>
  </si>
  <si>
    <t>מימוש Daily Check-in</t>
  </si>
  <si>
    <t>שאלון יומי לשלום הקשיש</t>
  </si>
  <si>
    <t>1.6</t>
  </si>
  <si>
    <t>פיתוח דשבורד משפחה (React Native)</t>
  </si>
  <si>
    <t>אפליקציית מובייל iOS/Android</t>
  </si>
  <si>
    <t>1.6.1</t>
  </si>
  <si>
    <t>הקמת פרויקט React Native</t>
  </si>
  <si>
    <t>Setup, navigation, state management</t>
  </si>
  <si>
    <t>1.6.2</t>
  </si>
  <si>
    <t>מסך בית + מצב כללי</t>
  </si>
  <si>
    <t>Live status of elderly user</t>
  </si>
  <si>
    <t>1.6.3</t>
  </si>
  <si>
    <t>מסך נתוני בריאות</t>
  </si>
  <si>
    <t>Charts: heart rate, sleep, steps</t>
  </si>
  <si>
    <t>1.6.4</t>
  </si>
  <si>
    <t>מסך התראות חירום</t>
  </si>
  <si>
    <t>Emergency history + real-time alerts</t>
  </si>
  <si>
    <t>1.6.5</t>
  </si>
  <si>
    <t>מסך דוחות יומיים</t>
  </si>
  <si>
    <t>Daily summary from AI</t>
  </si>
  <si>
    <t>1.7</t>
  </si>
  <si>
    <t>בדיקות QA</t>
  </si>
  <si>
    <t>בדיקות פונקציונליות ואינטגרציה</t>
  </si>
  <si>
    <t>1.7.1</t>
  </si>
  <si>
    <t>כתיבת Test Cases</t>
  </si>
  <si>
    <t>תרחישי בדיקה לכל פיצ׳ר</t>
  </si>
  <si>
    <t>1.7.2</t>
  </si>
  <si>
    <t>בדיקות יחידה (Unit Tests)</t>
  </si>
  <si>
    <t>Backend + Kotlin unit tests</t>
  </si>
  <si>
    <t>1.7.3</t>
  </si>
  <si>
    <t>בדיקות אינטגרציה</t>
  </si>
  <si>
    <t>End-to-end flow testing</t>
  </si>
  <si>
    <t>הבנת הסביבה, מתחרים, לקוחות</t>
  </si>
  <si>
    <t>מחקר משתמשים</t>
  </si>
  <si>
    <t>ראיונות, סקרים, insights</t>
  </si>
  <si>
    <t>ביצוע ראיונות עומק עם קשישים</t>
  </si>
  <si>
    <t>ניתוח ממצאים ובניית Personas</t>
  </si>
  <si>
    <t>2 פרסונות: קשיש + בן משפחה</t>
  </si>
  <si>
    <t>3.1</t>
  </si>
  <si>
    <t>3.1.1</t>
  </si>
  <si>
    <t>Pitch + deck הצגה</t>
  </si>
  <si>
    <t>3.1.2</t>
  </si>
  <si>
    <t>בניית מצגת משקיעים</t>
  </si>
  <si>
    <t>Pitch deck מקצועי</t>
  </si>
  <si>
    <t>כל הצוות</t>
  </si>
  <si>
    <t>3.1.3</t>
  </si>
  <si>
    <t>הכנסת קמפיין גיוס ראשוני</t>
  </si>
  <si>
    <t>Crowdfunding / seed round</t>
  </si>
  <si>
    <t>4</t>
  </si>
  <si>
    <t>3.2</t>
  </si>
  <si>
    <t>שיווק ומיתוג</t>
  </si>
  <si>
    <t>בניית מותג, נוכחות דיגיטלית</t>
  </si>
  <si>
    <t>3.2.1</t>
  </si>
  <si>
    <t>עיצוב לוגו ומיתוג Anchor</t>
  </si>
  <si>
    <t>Brand identity, color palette</t>
  </si>
  <si>
    <t>3.2.2</t>
  </si>
  <si>
    <t>בניית דף נחיתה (Landing Page)</t>
  </si>
  <si>
    <t>אתר אינטרנט ראשוני</t>
  </si>
  <si>
    <t>1000</t>
  </si>
  <si>
    <t>3.2.3</t>
  </si>
  <si>
    <t>ניהול רשתות חברתיות</t>
  </si>
  <si>
    <t>LinkedIn, Instagram – 3 חודשים</t>
  </si>
  <si>
    <t>12</t>
  </si>
  <si>
    <t>600</t>
  </si>
  <si>
    <t>3.3</t>
  </si>
  <si>
    <t>מצגת, דמו, חומרי שיווק</t>
  </si>
  <si>
    <t>3.3.1</t>
  </si>
  <si>
    <t>בניית Prototype / Demo להצגה</t>
  </si>
  <si>
    <t>6</t>
  </si>
  <si>
    <t>3.3.2</t>
  </si>
  <si>
    <t>הכנת חומרי שיווק לתערוכה</t>
  </si>
  <si>
    <t>Roll-up, עלונים, כרטיסי ביקור</t>
  </si>
  <si>
    <t>1500</t>
  </si>
  <si>
    <t>3.3.3</t>
  </si>
  <si>
    <t>אימון הצגה ו-Pitch</t>
  </si>
  <si>
    <t>Anchor – לוח זמנים (גאנט) | פברואר – ספטמבר 2026</t>
  </si>
  <si>
    <t>משימה</t>
  </si>
  <si>
    <t>פבר׳ 26</t>
  </si>
  <si>
    <t>מרץ 26</t>
  </si>
  <si>
    <t>אפר׳ 26</t>
  </si>
  <si>
    <t>מאי 26</t>
  </si>
  <si>
    <t>יוני 26</t>
  </si>
  <si>
    <t>יולי 26</t>
  </si>
  <si>
    <t>אוג׳ 26</t>
  </si>
  <si>
    <t>ספט׳ 26</t>
  </si>
  <si>
    <t>── מחקר ועיצוב ──</t>
  </si>
  <si>
    <t>כתיבת PRD + הגדרת פיצ׳רים</t>
  </si>
  <si>
    <t>1.2a</t>
  </si>
  <si>
    <t>בניית Personas + Wireframes</t>
  </si>
  <si>
    <t>1.2b</t>
  </si>
  <si>
    <t>עיצוב UI סופי (שעון + דשבורד)</t>
  </si>
  <si>
    <t>── פיתוח טכני ──</t>
  </si>
  <si>
    <t>ארכיטקטורה + הקמת AWS</t>
  </si>
  <si>
    <t>1.4a</t>
  </si>
  <si>
    <t>Backend: Auth + הרשמה</t>
  </si>
  <si>
    <t>1.4b</t>
  </si>
  <si>
    <t>Backend: עיבוד נתוני בריאות + AI</t>
  </si>
  <si>
    <t>1.4c</t>
  </si>
  <si>
    <t>Backend: מודול התראות</t>
  </si>
  <si>
    <t>1.5a</t>
  </si>
  <si>
    <t>Watch App: SOS + נפילות + תזכורות</t>
  </si>
  <si>
    <t>1.6a</t>
  </si>
  <si>
    <t>1.6b</t>
  </si>
  <si>
    <t>Dashboard App: התראות + דוחות</t>
  </si>
  <si>
    <t>── בדיקות ועסקי ──</t>
  </si>
  <si>
    <t>QA – Unit + Integration Tests</t>
  </si>
  <si>
    <t>1.7b</t>
  </si>
  <si>
    <t>User Testing עם קשישים</t>
  </si>
  <si>
    <t>בניית מצגת משקיעים + גיוס</t>
  </si>
  <si>
    <t>3.2a</t>
  </si>
  <si>
    <t>מיתוג + לוגו + Landing Page</t>
  </si>
  <si>
    <t>3.2b</t>
  </si>
  <si>
    <t>3.3a</t>
  </si>
  <si>
    <t>בניית Prototype לתערוכה</t>
  </si>
  <si>
    <t>3.3b</t>
  </si>
  <si>
    <t>חומרי שיווק + אימון Pitch</t>
  </si>
  <si>
    <t>── אבני דרך ──</t>
  </si>
  <si>
    <t>סיום עבודה משותפת בצוות</t>
  </si>
  <si>
    <t>תערוכת פרויקטים</t>
  </si>
  <si>
    <t xml:space="preserve">  </t>
  </si>
  <si>
    <t>פעילות בתהליך</t>
  </si>
  <si>
    <t>Anchor – תקציב | פברואר – ספטמבר 2026</t>
  </si>
  <si>
    <t>פעילות / הוצאה</t>
  </si>
  <si>
    <t>סוג הוצאה</t>
  </si>
  <si>
    <t>סה״כ (₪)</t>
  </si>
  <si>
    <t>── תשתית ופיתוח ──</t>
  </si>
  <si>
    <t>אחסון ענן AWS (שרתים)</t>
  </si>
  <si>
    <t>משתנה</t>
  </si>
  <si>
    <t>רישיון כלי פיתוח (IDEs, tools)</t>
  </si>
  <si>
    <t>קבועה</t>
  </si>
  <si>
    <t>בניית Landing Page</t>
  </si>
  <si>
    <t>ניהול רשתות חברתיות (3 חודשים)</t>
  </si>
  <si>
    <t>── תערוכה ──</t>
  </si>
  <si>
    <t>חומרי שיווק (Roll-up, עלונים)</t>
  </si>
  <si>
    <t>כרטיסי ביקור</t>
  </si>
  <si>
    <t>── מחקר ──</t>
  </si>
  <si>
    <t>תמריצי משתתפי מחקר (ראיונות)</t>
  </si>
  <si>
    <t>── כלים ותוכנות ──</t>
  </si>
  <si>
    <t>Figma (עיצוב)</t>
  </si>
  <si>
    <t>סה״כ הוצאות משתנות</t>
  </si>
  <si>
    <t>סה״כ הוצאות קבועות</t>
  </si>
  <si>
    <t>סה״כ הוצאה כוללת</t>
  </si>
  <si>
    <t xml:space="preserve">אגדה: </t>
  </si>
  <si>
    <t>הוצאה משתנה (שוטפת) – חוזרת מדי חודש</t>
  </si>
  <si>
    <t>הוצאה קבועה (חד-פעמית)</t>
  </si>
  <si>
    <t>Anchor – אבני דרך ומטרות מרכזיות</t>
  </si>
  <si>
    <t>אבן דרך</t>
  </si>
  <si>
    <t>תאריך יעד</t>
  </si>
  <si>
    <t>תיאור ומה נדרש להשיג</t>
  </si>
  <si>
    <t>מדד הצלחה</t>
  </si>
  <si>
    <t>יוני 2026</t>
  </si>
  <si>
    <t>ספטמבר 2026</t>
  </si>
  <si>
    <t>ינואר 2027</t>
  </si>
  <si>
    <t xml:space="preserve"> סיום עבודה משותפת</t>
  </si>
  <si>
    <t>100 הורדות ראשונות
דירוג 4+ בחנויות
 0 תקלות קריטיות
 Retention 30 ימים &gt; 50%</t>
  </si>
  <si>
    <t>הצגת המיזם בתערוכה הפתוחה לקהל. MVP מלא עובד (אפליקציית שעון + דשבורד משפחה) , מצגת מקצועית, חומרי שיווק מוכנים, ויכולת Pitch בפני משקיעים ושופטים.</t>
  </si>
  <si>
    <t>בדיקות אינטגרציה עוברות
Demo מוכן להצגה</t>
  </si>
  <si>
    <t xml:space="preserve">סיום העבודה המשותפת של הצוות המלא. כל רכיבי הליבה בתהליך פיתוח. </t>
  </si>
  <si>
    <t>מחקר וניסוי</t>
  </si>
  <si>
    <t xml:space="preserve"> עסקית ומנהלית</t>
  </si>
  <si>
    <t>בניית Pitch משקיעים</t>
  </si>
  <si>
    <t>עשרה משתתפים בניסוי</t>
  </si>
  <si>
    <t>חזרות עם המנטור דרור</t>
  </si>
  <si>
    <t xml:space="preserve"> תערוכת פרויקטים  השקת MVP </t>
  </si>
  <si>
    <t>Prototype עובד בשעון אמיתי
מצגת משקיעים מוכנה</t>
  </si>
  <si>
    <t xml:space="preserve">שירותי AI  </t>
  </si>
  <si>
    <t>יועץ חיצוני</t>
  </si>
  <si>
    <t>ירדן</t>
  </si>
  <si>
    <t>דניאל ועומרי</t>
  </si>
  <si>
    <t>רוני</t>
  </si>
  <si>
    <t>דניאל וירדן</t>
  </si>
  <si>
    <t xml:space="preserve">עומרי </t>
  </si>
  <si>
    <t>דניאל</t>
  </si>
  <si>
    <t>עומרי ודניאל</t>
  </si>
  <si>
    <t xml:space="preserve">אינטגרציית AI </t>
  </si>
  <si>
    <t xml:space="preserve">דניאל </t>
  </si>
  <si>
    <t>2.1.1</t>
  </si>
  <si>
    <t>2.1.2</t>
  </si>
  <si>
    <t>הכנה לתערוכה</t>
  </si>
  <si>
    <t>הכנת Mock Up</t>
  </si>
  <si>
    <t xml:space="preserve">אפליקציה עובדת </t>
  </si>
  <si>
    <t>הכנת סרטון הדרכה למוצר</t>
  </si>
  <si>
    <t>Dashboard App: מסכים</t>
  </si>
  <si>
    <t>אוק׳ 26</t>
  </si>
  <si>
    <t>נוב׳ 26</t>
  </si>
  <si>
    <t>דצמ׳ 26</t>
  </si>
  <si>
    <t>ינו׳ 27</t>
  </si>
  <si>
    <t>GitHub  (ניהול)</t>
  </si>
  <si>
    <t>בכורה ישראלית</t>
  </si>
  <si>
    <t xml:space="preserve"> גיוס הון ראשוני </t>
  </si>
  <si>
    <t>השקה ראשונית לשוק של אפליקציית anchor. זמינה בחינם ב-Google Play ו-App Store. עד 100 משתמשים ראשונים.</t>
  </si>
  <si>
    <t>יוני 2027</t>
  </si>
  <si>
    <t>חתימת term sheet עם משקיע
100+ משתמשים פעילים</t>
  </si>
  <si>
    <t>גיוס Seed Investment ראשון. הצגת ה-MVP הפועל ונתוני שימוש ראשוניים למשקיעים. מטרה: עשרה מליון שקלים לפיתוח שלב ב׳.</t>
  </si>
  <si>
    <t>── שיווק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</si>
</sst>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3A40"/>
      <name val="Arial"/>
      <family val="2"/>
    </font>
    <font>
      <b/>
      <sz val="10"/>
      <color rgb="FF1A5F6B"/>
      <name val="Arial"/>
      <family val="2"/>
    </font>
    <font>
      <sz val="10"/>
      <color rgb="FF333333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555555"/>
      <name val="Arial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27AE60"/>
      <name val="Arial"/>
      <family val="2"/>
    </font>
    <font>
      <b/>
      <sz val="10"/>
      <color rgb="FFC0392B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28090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C5F6B"/>
      </patternFill>
    </fill>
    <fill>
      <patternFill patternType="solid">
        <fgColor rgb="FF028090"/>
      </patternFill>
    </fill>
    <fill>
      <patternFill patternType="solid">
        <fgColor rgb="FF1A3A40"/>
      </patternFill>
    </fill>
    <fill>
      <patternFill patternType="solid">
        <fgColor rgb="FFCCF0F3"/>
      </patternFill>
    </fill>
    <fill>
      <patternFill patternType="solid">
        <fgColor rgb="FFE8F8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7DD4DC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EAF2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/>
    <xf numFmtId="0" fontId="0" fillId="7" borderId="1" xfId="0" applyFill="1" applyBorder="1"/>
    <xf numFmtId="0" fontId="0" fillId="9" borderId="1" xfId="0" applyFill="1" applyBorder="1"/>
    <xf numFmtId="0" fontId="10" fillId="0" borderId="0" xfId="0" applyFont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righ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3" fontId="10" fillId="11" borderId="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right" vertical="center" wrapText="1"/>
    </xf>
    <xf numFmtId="0" fontId="15" fillId="12" borderId="1" xfId="0" applyFont="1" applyFill="1" applyBorder="1" applyAlignment="1">
      <alignment horizontal="center" vertical="center" wrapText="1"/>
    </xf>
    <xf numFmtId="3" fontId="10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3" fontId="13" fillId="12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right" vertical="center" wrapText="1"/>
    </xf>
    <xf numFmtId="0" fontId="0" fillId="13" borderId="1" xfId="0" applyFill="1" applyBorder="1"/>
    <xf numFmtId="3" fontId="3" fillId="13" borderId="1" xfId="0" applyNumberFormat="1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right" vertical="center" wrapText="1"/>
    </xf>
    <xf numFmtId="0" fontId="0" fillId="14" borderId="1" xfId="0" applyFill="1" applyBorder="1"/>
    <xf numFmtId="3" fontId="3" fillId="1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4" borderId="1" xfId="0" applyFill="1" applyBorder="1"/>
    <xf numFmtId="3" fontId="8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2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righ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righ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right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right" vertical="center" wrapText="1"/>
    </xf>
    <xf numFmtId="0" fontId="0" fillId="0" borderId="1" xfId="0" applyBorder="1"/>
    <xf numFmtId="17" fontId="18" fillId="15" borderId="1" xfId="0" applyNumberFormat="1" applyFont="1" applyFill="1" applyBorder="1" applyAlignment="1">
      <alignment horizontal="center" vertical="center" wrapText="1"/>
    </xf>
    <xf numFmtId="17" fontId="8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rightToLeft="1" tabSelected="1" topLeftCell="B1" workbookViewId="0">
      <selection activeCell="E15" sqref="E15"/>
    </sheetView>
  </sheetViews>
  <sheetFormatPr baseColWidth="10" defaultColWidth="8.83203125" defaultRowHeight="15" x14ac:dyDescent="0.2"/>
  <cols>
    <col min="1" max="1" width="6" customWidth="1"/>
    <col min="2" max="4" width="28" customWidth="1"/>
    <col min="5" max="5" width="31.6640625" bestFit="1" customWidth="1"/>
    <col min="6" max="6" width="14" customWidth="1"/>
    <col min="7" max="7" width="16" customWidth="1"/>
  </cols>
  <sheetData>
    <row r="1" spans="1:7" ht="50" customHeight="1" x14ac:dyDescent="0.2">
      <c r="A1" s="55" t="s">
        <v>0</v>
      </c>
      <c r="B1" s="54"/>
      <c r="C1" s="54"/>
      <c r="D1" s="54"/>
      <c r="E1" s="54"/>
      <c r="F1" s="54"/>
      <c r="G1" s="54"/>
    </row>
    <row r="2" spans="1:7" ht="30" customHeight="1" x14ac:dyDescent="0.2">
      <c r="A2" s="53" t="s">
        <v>1</v>
      </c>
      <c r="B2" s="54"/>
      <c r="C2" s="54"/>
      <c r="D2" s="54"/>
      <c r="E2" s="54"/>
      <c r="F2" s="54"/>
      <c r="G2" s="54"/>
    </row>
    <row r="3" spans="1:7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8</v>
      </c>
      <c r="G3" s="1" t="s">
        <v>9</v>
      </c>
    </row>
    <row r="4" spans="1:7" ht="22" customHeight="1" x14ac:dyDescent="0.2">
      <c r="A4" s="2" t="s">
        <v>10</v>
      </c>
      <c r="B4" s="3" t="s">
        <v>11</v>
      </c>
      <c r="C4" s="3"/>
      <c r="D4" s="3"/>
      <c r="E4" s="3" t="s">
        <v>12</v>
      </c>
      <c r="F4" s="2"/>
      <c r="G4" s="2"/>
    </row>
    <row r="5" spans="1:7" ht="22" customHeight="1" x14ac:dyDescent="0.2">
      <c r="A5" s="4" t="s">
        <v>13</v>
      </c>
      <c r="B5" s="5"/>
      <c r="C5" s="5" t="s">
        <v>14</v>
      </c>
      <c r="D5" s="5"/>
      <c r="E5" s="5" t="s">
        <v>15</v>
      </c>
      <c r="F5" s="4"/>
      <c r="G5" s="4"/>
    </row>
    <row r="6" spans="1:7" ht="22" customHeight="1" x14ac:dyDescent="0.2">
      <c r="A6" s="6" t="s">
        <v>16</v>
      </c>
      <c r="B6" s="7"/>
      <c r="C6" s="7"/>
      <c r="D6" s="7" t="s">
        <v>17</v>
      </c>
      <c r="E6" s="7" t="s">
        <v>18</v>
      </c>
      <c r="F6" s="6">
        <v>1.5</v>
      </c>
      <c r="G6" s="6" t="s">
        <v>20</v>
      </c>
    </row>
    <row r="7" spans="1:7" ht="22" customHeight="1" x14ac:dyDescent="0.2">
      <c r="A7" s="6" t="s">
        <v>21</v>
      </c>
      <c r="B7" s="7"/>
      <c r="C7" s="7"/>
      <c r="D7" s="7" t="s">
        <v>22</v>
      </c>
      <c r="E7" s="7" t="s">
        <v>23</v>
      </c>
      <c r="F7" s="6" t="s">
        <v>10</v>
      </c>
      <c r="G7" s="6" t="s">
        <v>20</v>
      </c>
    </row>
    <row r="8" spans="1:7" ht="22" customHeight="1" x14ac:dyDescent="0.2">
      <c r="A8" s="6" t="s">
        <v>24</v>
      </c>
      <c r="B8" s="7"/>
      <c r="C8" s="7"/>
      <c r="D8" s="7" t="s">
        <v>25</v>
      </c>
      <c r="E8" s="7" t="s">
        <v>26</v>
      </c>
      <c r="F8" s="6" t="s">
        <v>27</v>
      </c>
      <c r="G8" s="6" t="s">
        <v>20</v>
      </c>
    </row>
    <row r="9" spans="1:7" ht="22" customHeight="1" x14ac:dyDescent="0.2">
      <c r="A9" s="4" t="s">
        <v>28</v>
      </c>
      <c r="B9" s="5"/>
      <c r="C9" s="5" t="s">
        <v>29</v>
      </c>
      <c r="D9" s="5"/>
      <c r="E9" s="5" t="s">
        <v>30</v>
      </c>
      <c r="F9" s="4"/>
      <c r="G9" s="4"/>
    </row>
    <row r="10" spans="1:7" ht="22" customHeight="1" x14ac:dyDescent="0.2">
      <c r="A10" s="6" t="s">
        <v>31</v>
      </c>
      <c r="B10" s="7"/>
      <c r="C10" s="7"/>
      <c r="D10" s="7" t="s">
        <v>32</v>
      </c>
      <c r="E10" s="7" t="s">
        <v>33</v>
      </c>
      <c r="F10" s="6" t="s">
        <v>10</v>
      </c>
      <c r="G10" s="6" t="s">
        <v>20</v>
      </c>
    </row>
    <row r="11" spans="1:7" ht="22" customHeight="1" x14ac:dyDescent="0.2">
      <c r="A11" s="6" t="s">
        <v>34</v>
      </c>
      <c r="B11" s="7"/>
      <c r="C11" s="7"/>
      <c r="D11" s="7" t="s">
        <v>35</v>
      </c>
      <c r="E11" s="7" t="s">
        <v>36</v>
      </c>
      <c r="F11" s="6">
        <v>1</v>
      </c>
      <c r="G11" s="6" t="s">
        <v>20</v>
      </c>
    </row>
    <row r="12" spans="1:7" ht="22" customHeight="1" x14ac:dyDescent="0.2">
      <c r="A12" s="6" t="s">
        <v>37</v>
      </c>
      <c r="B12" s="7"/>
      <c r="C12" s="7"/>
      <c r="D12" s="7" t="s">
        <v>38</v>
      </c>
      <c r="E12" s="7" t="s">
        <v>39</v>
      </c>
      <c r="F12" s="6">
        <v>1</v>
      </c>
      <c r="G12" s="6" t="s">
        <v>20</v>
      </c>
    </row>
    <row r="13" spans="1:7" ht="22" customHeight="1" x14ac:dyDescent="0.2">
      <c r="A13" s="6" t="s">
        <v>40</v>
      </c>
      <c r="B13" s="7"/>
      <c r="C13" s="7"/>
      <c r="D13" s="7" t="s">
        <v>41</v>
      </c>
      <c r="E13" s="7" t="s">
        <v>42</v>
      </c>
      <c r="F13" s="6">
        <v>12</v>
      </c>
      <c r="G13" s="6" t="s">
        <v>20</v>
      </c>
    </row>
    <row r="14" spans="1:7" ht="22" customHeight="1" x14ac:dyDescent="0.2">
      <c r="A14" s="6" t="s">
        <v>44</v>
      </c>
      <c r="B14" s="7"/>
      <c r="C14" s="7"/>
      <c r="D14" s="7" t="s">
        <v>45</v>
      </c>
      <c r="E14" s="7" t="s">
        <v>46</v>
      </c>
      <c r="F14" s="6">
        <v>12</v>
      </c>
      <c r="G14" s="6" t="s">
        <v>20</v>
      </c>
    </row>
    <row r="15" spans="1:7" ht="22" customHeight="1" x14ac:dyDescent="0.2">
      <c r="A15" s="4" t="s">
        <v>47</v>
      </c>
      <c r="B15" s="5"/>
      <c r="C15" s="5" t="s">
        <v>58</v>
      </c>
      <c r="D15" s="5"/>
      <c r="E15" s="5"/>
      <c r="F15" s="4"/>
      <c r="G15" s="4"/>
    </row>
    <row r="16" spans="1:7" ht="22" customHeight="1" x14ac:dyDescent="0.2">
      <c r="A16" s="6" t="s">
        <v>48</v>
      </c>
      <c r="B16" s="7"/>
      <c r="C16" s="7"/>
      <c r="D16" s="7" t="s">
        <v>49</v>
      </c>
      <c r="E16" s="7" t="s">
        <v>50</v>
      </c>
      <c r="F16" s="6">
        <v>12</v>
      </c>
      <c r="G16" s="6" t="s">
        <v>20</v>
      </c>
    </row>
    <row r="17" spans="1:7" ht="22" customHeight="1" x14ac:dyDescent="0.2">
      <c r="A17" s="6" t="s">
        <v>51</v>
      </c>
      <c r="B17" s="7"/>
      <c r="C17" s="7"/>
      <c r="D17" s="7" t="s">
        <v>52</v>
      </c>
      <c r="E17" s="7" t="s">
        <v>53</v>
      </c>
      <c r="F17" s="6">
        <v>12</v>
      </c>
      <c r="G17" s="6" t="s">
        <v>54</v>
      </c>
    </row>
    <row r="18" spans="1:7" ht="22" customHeight="1" x14ac:dyDescent="0.2">
      <c r="A18" s="6" t="s">
        <v>55</v>
      </c>
      <c r="B18" s="7"/>
      <c r="C18" s="7"/>
      <c r="D18" s="7" t="s">
        <v>56</v>
      </c>
      <c r="E18" s="7" t="s">
        <v>57</v>
      </c>
      <c r="F18" s="6">
        <v>1</v>
      </c>
      <c r="G18" s="6" t="s">
        <v>20</v>
      </c>
    </row>
    <row r="19" spans="1:7" ht="22" customHeight="1" x14ac:dyDescent="0.2">
      <c r="A19" s="6" t="s">
        <v>59</v>
      </c>
      <c r="B19" s="7"/>
      <c r="C19" s="7"/>
      <c r="D19" s="7" t="s">
        <v>60</v>
      </c>
      <c r="E19" s="7" t="s">
        <v>61</v>
      </c>
      <c r="F19" s="6">
        <v>12</v>
      </c>
      <c r="G19" s="6" t="s">
        <v>20</v>
      </c>
    </row>
    <row r="20" spans="1:7" ht="22" customHeight="1" x14ac:dyDescent="0.2">
      <c r="A20" s="6" t="s">
        <v>62</v>
      </c>
      <c r="B20" s="7"/>
      <c r="C20" s="7"/>
      <c r="D20" s="7" t="s">
        <v>63</v>
      </c>
      <c r="E20" s="7" t="s">
        <v>64</v>
      </c>
      <c r="F20" s="6">
        <v>12</v>
      </c>
      <c r="G20" s="6" t="s">
        <v>20</v>
      </c>
    </row>
    <row r="21" spans="1:7" ht="22" customHeight="1" x14ac:dyDescent="0.2">
      <c r="A21" s="6" t="s">
        <v>65</v>
      </c>
      <c r="B21" s="7"/>
      <c r="C21" s="7"/>
      <c r="D21" s="7" t="s">
        <v>258</v>
      </c>
      <c r="E21" s="7" t="s">
        <v>66</v>
      </c>
      <c r="F21" s="6">
        <v>12</v>
      </c>
      <c r="G21" s="6" t="s">
        <v>67</v>
      </c>
    </row>
    <row r="22" spans="1:7" ht="22" customHeight="1" x14ac:dyDescent="0.2">
      <c r="A22" s="4" t="s">
        <v>68</v>
      </c>
      <c r="B22" s="5"/>
      <c r="C22" s="5" t="s">
        <v>69</v>
      </c>
      <c r="D22" s="5"/>
      <c r="E22" s="5" t="s">
        <v>70</v>
      </c>
      <c r="F22" s="4"/>
      <c r="G22" s="4"/>
    </row>
    <row r="23" spans="1:7" ht="22" customHeight="1" x14ac:dyDescent="0.2">
      <c r="A23" s="6" t="s">
        <v>71</v>
      </c>
      <c r="B23" s="7"/>
      <c r="C23" s="7"/>
      <c r="D23" s="7" t="s">
        <v>72</v>
      </c>
      <c r="E23" s="7" t="s">
        <v>73</v>
      </c>
      <c r="F23" s="6">
        <v>4</v>
      </c>
      <c r="G23" s="6" t="s">
        <v>20</v>
      </c>
    </row>
    <row r="24" spans="1:7" ht="22" customHeight="1" x14ac:dyDescent="0.2">
      <c r="A24" s="6" t="s">
        <v>74</v>
      </c>
      <c r="B24" s="7"/>
      <c r="C24" s="7"/>
      <c r="D24" s="7" t="s">
        <v>75</v>
      </c>
      <c r="E24" s="7" t="s">
        <v>76</v>
      </c>
      <c r="F24" s="6">
        <v>4</v>
      </c>
      <c r="G24" s="6" t="s">
        <v>20</v>
      </c>
    </row>
    <row r="25" spans="1:7" ht="22" customHeight="1" x14ac:dyDescent="0.2">
      <c r="A25" s="6" t="s">
        <v>77</v>
      </c>
      <c r="B25" s="7"/>
      <c r="C25" s="7"/>
      <c r="D25" s="7" t="s">
        <v>78</v>
      </c>
      <c r="E25" s="7" t="s">
        <v>79</v>
      </c>
      <c r="F25" s="6">
        <v>4</v>
      </c>
      <c r="G25" s="6" t="s">
        <v>20</v>
      </c>
    </row>
    <row r="26" spans="1:7" ht="22" customHeight="1" x14ac:dyDescent="0.2">
      <c r="A26" s="6" t="s">
        <v>80</v>
      </c>
      <c r="B26" s="7"/>
      <c r="C26" s="7"/>
      <c r="D26" s="7" t="s">
        <v>81</v>
      </c>
      <c r="E26" s="7" t="s">
        <v>82</v>
      </c>
      <c r="F26" s="6" t="s">
        <v>19</v>
      </c>
      <c r="G26" s="6" t="s">
        <v>20</v>
      </c>
    </row>
    <row r="27" spans="1:7" ht="22" customHeight="1" x14ac:dyDescent="0.2">
      <c r="A27" s="6" t="s">
        <v>83</v>
      </c>
      <c r="B27" s="7"/>
      <c r="C27" s="7"/>
      <c r="D27" s="7" t="s">
        <v>84</v>
      </c>
      <c r="E27" s="7" t="s">
        <v>85</v>
      </c>
      <c r="F27" s="6" t="s">
        <v>19</v>
      </c>
      <c r="G27" s="6" t="s">
        <v>20</v>
      </c>
    </row>
    <row r="28" spans="1:7" ht="22" customHeight="1" x14ac:dyDescent="0.2">
      <c r="A28" s="4" t="s">
        <v>86</v>
      </c>
      <c r="B28" s="5"/>
      <c r="C28" s="5" t="s">
        <v>87</v>
      </c>
      <c r="D28" s="5"/>
      <c r="E28" s="5" t="s">
        <v>88</v>
      </c>
      <c r="F28" s="4"/>
      <c r="G28" s="4"/>
    </row>
    <row r="29" spans="1:7" ht="22" customHeight="1" x14ac:dyDescent="0.2">
      <c r="A29" s="6" t="s">
        <v>89</v>
      </c>
      <c r="B29" s="7"/>
      <c r="C29" s="7"/>
      <c r="D29" s="7" t="s">
        <v>90</v>
      </c>
      <c r="E29" s="7" t="s">
        <v>91</v>
      </c>
      <c r="F29" s="6" t="s">
        <v>10</v>
      </c>
      <c r="G29" s="6" t="s">
        <v>20</v>
      </c>
    </row>
    <row r="30" spans="1:7" ht="22" customHeight="1" x14ac:dyDescent="0.2">
      <c r="A30" s="6" t="s">
        <v>92</v>
      </c>
      <c r="B30" s="7"/>
      <c r="C30" s="7"/>
      <c r="D30" s="7" t="s">
        <v>93</v>
      </c>
      <c r="E30" s="7" t="s">
        <v>94</v>
      </c>
      <c r="F30" s="6" t="s">
        <v>19</v>
      </c>
      <c r="G30" s="6" t="s">
        <v>20</v>
      </c>
    </row>
    <row r="31" spans="1:7" ht="22" customHeight="1" x14ac:dyDescent="0.2">
      <c r="A31" s="6" t="s">
        <v>95</v>
      </c>
      <c r="B31" s="7"/>
      <c r="C31" s="7"/>
      <c r="D31" s="7" t="s">
        <v>96</v>
      </c>
      <c r="E31" s="7" t="s">
        <v>97</v>
      </c>
      <c r="F31" s="6" t="s">
        <v>43</v>
      </c>
      <c r="G31" s="6" t="s">
        <v>20</v>
      </c>
    </row>
    <row r="32" spans="1:7" ht="22" customHeight="1" x14ac:dyDescent="0.2">
      <c r="A32" s="6" t="s">
        <v>98</v>
      </c>
      <c r="B32" s="7"/>
      <c r="C32" s="7"/>
      <c r="D32" s="7" t="s">
        <v>99</v>
      </c>
      <c r="E32" s="7" t="s">
        <v>100</v>
      </c>
      <c r="F32" s="6" t="s">
        <v>19</v>
      </c>
      <c r="G32" s="6" t="s">
        <v>20</v>
      </c>
    </row>
    <row r="33" spans="1:7" ht="22" customHeight="1" x14ac:dyDescent="0.2">
      <c r="A33" s="6" t="s">
        <v>101</v>
      </c>
      <c r="B33" s="7"/>
      <c r="C33" s="7"/>
      <c r="D33" s="7" t="s">
        <v>102</v>
      </c>
      <c r="E33" s="7" t="s">
        <v>103</v>
      </c>
      <c r="F33" s="6" t="s">
        <v>19</v>
      </c>
      <c r="G33" s="6" t="s">
        <v>20</v>
      </c>
    </row>
    <row r="34" spans="1:7" ht="22" customHeight="1" x14ac:dyDescent="0.2">
      <c r="A34" s="4" t="s">
        <v>104</v>
      </c>
      <c r="B34" s="5"/>
      <c r="C34" s="5" t="s">
        <v>105</v>
      </c>
      <c r="D34" s="5"/>
      <c r="E34" s="5" t="s">
        <v>106</v>
      </c>
      <c r="F34" s="4"/>
      <c r="G34" s="4"/>
    </row>
    <row r="35" spans="1:7" ht="22" customHeight="1" x14ac:dyDescent="0.2">
      <c r="A35" s="6" t="s">
        <v>107</v>
      </c>
      <c r="B35" s="7"/>
      <c r="C35" s="7"/>
      <c r="D35" s="7" t="s">
        <v>108</v>
      </c>
      <c r="E35" s="7" t="s">
        <v>109</v>
      </c>
      <c r="F35" s="6">
        <v>2</v>
      </c>
      <c r="G35" s="6" t="s">
        <v>20</v>
      </c>
    </row>
    <row r="36" spans="1:7" ht="22" customHeight="1" x14ac:dyDescent="0.2">
      <c r="A36" s="6" t="s">
        <v>110</v>
      </c>
      <c r="B36" s="7"/>
      <c r="C36" s="7"/>
      <c r="D36" s="7" t="s">
        <v>111</v>
      </c>
      <c r="E36" s="7" t="s">
        <v>112</v>
      </c>
      <c r="F36" s="6">
        <v>6</v>
      </c>
      <c r="G36" s="6" t="s">
        <v>20</v>
      </c>
    </row>
    <row r="37" spans="1:7" ht="22" customHeight="1" x14ac:dyDescent="0.2">
      <c r="A37" s="6" t="s">
        <v>113</v>
      </c>
      <c r="B37" s="7"/>
      <c r="C37" s="7"/>
      <c r="D37" s="7" t="s">
        <v>114</v>
      </c>
      <c r="E37" s="7" t="s">
        <v>115</v>
      </c>
      <c r="F37" s="6">
        <v>1</v>
      </c>
      <c r="G37" s="6" t="s">
        <v>20</v>
      </c>
    </row>
    <row r="38" spans="1:7" ht="22" customHeight="1" x14ac:dyDescent="0.2">
      <c r="A38" s="2" t="s">
        <v>19</v>
      </c>
      <c r="B38" s="3" t="s">
        <v>242</v>
      </c>
      <c r="C38" s="3"/>
      <c r="D38" s="3"/>
      <c r="E38" s="3" t="s">
        <v>116</v>
      </c>
      <c r="F38" s="2"/>
      <c r="G38" s="2"/>
    </row>
    <row r="39" spans="1:7" ht="22" customHeight="1" x14ac:dyDescent="0.2">
      <c r="A39" s="4">
        <v>2.1</v>
      </c>
      <c r="B39" s="5"/>
      <c r="C39" s="5" t="s">
        <v>117</v>
      </c>
      <c r="D39" s="5"/>
      <c r="E39" s="5" t="s">
        <v>118</v>
      </c>
      <c r="F39" s="4"/>
      <c r="G39" s="4"/>
    </row>
    <row r="40" spans="1:7" ht="22" customHeight="1" x14ac:dyDescent="0.2">
      <c r="A40" s="6" t="s">
        <v>260</v>
      </c>
      <c r="B40" s="7"/>
      <c r="C40" s="7"/>
      <c r="D40" s="7" t="s">
        <v>119</v>
      </c>
      <c r="E40" s="7" t="s">
        <v>245</v>
      </c>
      <c r="F40" s="6" t="s">
        <v>19</v>
      </c>
      <c r="G40" s="6" t="s">
        <v>20</v>
      </c>
    </row>
    <row r="41" spans="1:7" ht="22" customHeight="1" x14ac:dyDescent="0.2">
      <c r="A41" s="6" t="s">
        <v>261</v>
      </c>
      <c r="B41" s="7"/>
      <c r="C41" s="7"/>
      <c r="D41" s="7" t="s">
        <v>120</v>
      </c>
      <c r="E41" s="7" t="s">
        <v>121</v>
      </c>
      <c r="F41" s="6" t="s">
        <v>10</v>
      </c>
      <c r="G41" s="6" t="s">
        <v>20</v>
      </c>
    </row>
    <row r="42" spans="1:7" ht="22" customHeight="1" x14ac:dyDescent="0.2">
      <c r="A42" s="2" t="s">
        <v>43</v>
      </c>
      <c r="B42" s="3" t="s">
        <v>243</v>
      </c>
      <c r="C42" s="3"/>
      <c r="D42" s="3"/>
      <c r="E42" s="3"/>
      <c r="F42" s="2"/>
      <c r="G42" s="2"/>
    </row>
    <row r="43" spans="1:7" ht="22" customHeight="1" x14ac:dyDescent="0.2">
      <c r="A43" s="4" t="s">
        <v>122</v>
      </c>
      <c r="B43" s="5"/>
      <c r="C43" s="5"/>
      <c r="D43" s="5"/>
      <c r="E43" s="5"/>
      <c r="F43" s="4"/>
      <c r="G43" s="4"/>
    </row>
    <row r="44" spans="1:7" ht="22" customHeight="1" x14ac:dyDescent="0.2">
      <c r="A44" s="6" t="s">
        <v>123</v>
      </c>
      <c r="B44" s="7"/>
      <c r="C44" s="7"/>
      <c r="D44" s="7" t="s">
        <v>244</v>
      </c>
      <c r="E44" s="7" t="s">
        <v>124</v>
      </c>
      <c r="F44" s="6">
        <v>1</v>
      </c>
      <c r="G44" s="6" t="s">
        <v>20</v>
      </c>
    </row>
    <row r="45" spans="1:7" ht="22" customHeight="1" x14ac:dyDescent="0.2">
      <c r="A45" s="6" t="s">
        <v>125</v>
      </c>
      <c r="B45" s="7"/>
      <c r="C45" s="7"/>
      <c r="D45" s="7" t="s">
        <v>126</v>
      </c>
      <c r="E45" s="7" t="s">
        <v>127</v>
      </c>
      <c r="F45" s="6">
        <v>1</v>
      </c>
      <c r="G45" s="6" t="s">
        <v>20</v>
      </c>
    </row>
    <row r="46" spans="1:7" ht="22" customHeight="1" x14ac:dyDescent="0.2">
      <c r="A46" s="6" t="s">
        <v>129</v>
      </c>
      <c r="B46" s="7"/>
      <c r="C46" s="7"/>
      <c r="D46" s="7" t="s">
        <v>130</v>
      </c>
      <c r="E46" s="7" t="s">
        <v>131</v>
      </c>
      <c r="F46" s="6">
        <v>4</v>
      </c>
      <c r="G46" s="6" t="s">
        <v>20</v>
      </c>
    </row>
    <row r="47" spans="1:7" ht="22" customHeight="1" x14ac:dyDescent="0.2">
      <c r="A47" s="4" t="s">
        <v>133</v>
      </c>
      <c r="B47" s="5"/>
      <c r="C47" s="5" t="s">
        <v>134</v>
      </c>
      <c r="D47" s="5"/>
      <c r="E47" s="5" t="s">
        <v>135</v>
      </c>
      <c r="F47" s="4"/>
      <c r="G47" s="4"/>
    </row>
    <row r="48" spans="1:7" ht="22" customHeight="1" x14ac:dyDescent="0.2">
      <c r="A48" s="6" t="s">
        <v>136</v>
      </c>
      <c r="B48" s="7"/>
      <c r="C48" s="7"/>
      <c r="D48" s="7" t="s">
        <v>137</v>
      </c>
      <c r="E48" s="7" t="s">
        <v>138</v>
      </c>
      <c r="F48" s="6" t="s">
        <v>10</v>
      </c>
      <c r="G48" s="6">
        <v>0</v>
      </c>
    </row>
    <row r="49" spans="1:7" ht="22" customHeight="1" x14ac:dyDescent="0.2">
      <c r="A49" s="6" t="s">
        <v>139</v>
      </c>
      <c r="B49" s="7"/>
      <c r="C49" s="7"/>
      <c r="D49" s="7" t="s">
        <v>140</v>
      </c>
      <c r="E49" s="7" t="s">
        <v>141</v>
      </c>
      <c r="F49" s="6" t="s">
        <v>19</v>
      </c>
      <c r="G49" s="6" t="s">
        <v>142</v>
      </c>
    </row>
    <row r="50" spans="1:7" ht="22" customHeight="1" x14ac:dyDescent="0.2">
      <c r="A50" s="6" t="s">
        <v>143</v>
      </c>
      <c r="B50" s="7"/>
      <c r="C50" s="7"/>
      <c r="D50" s="7" t="s">
        <v>144</v>
      </c>
      <c r="E50" s="7" t="s">
        <v>145</v>
      </c>
      <c r="F50" s="6" t="s">
        <v>146</v>
      </c>
      <c r="G50" s="6" t="s">
        <v>147</v>
      </c>
    </row>
    <row r="51" spans="1:7" ht="22" customHeight="1" x14ac:dyDescent="0.2">
      <c r="A51" s="4" t="s">
        <v>148</v>
      </c>
      <c r="B51" s="5"/>
      <c r="C51" s="5" t="s">
        <v>262</v>
      </c>
      <c r="D51" s="5"/>
      <c r="E51" s="5" t="s">
        <v>149</v>
      </c>
      <c r="F51" s="4"/>
      <c r="G51" s="4"/>
    </row>
    <row r="52" spans="1:7" ht="22" customHeight="1" x14ac:dyDescent="0.2">
      <c r="A52" s="6" t="s">
        <v>150</v>
      </c>
      <c r="B52" s="7"/>
      <c r="C52" s="7"/>
      <c r="D52" s="7" t="s">
        <v>151</v>
      </c>
      <c r="E52" s="7" t="s">
        <v>264</v>
      </c>
      <c r="F52" s="6" t="s">
        <v>152</v>
      </c>
      <c r="G52" s="6" t="s">
        <v>20</v>
      </c>
    </row>
    <row r="53" spans="1:7" ht="22" customHeight="1" x14ac:dyDescent="0.2">
      <c r="A53" s="6"/>
      <c r="B53" s="7"/>
      <c r="C53" s="7"/>
      <c r="D53" s="7" t="s">
        <v>263</v>
      </c>
      <c r="E53" s="7" t="s">
        <v>265</v>
      </c>
      <c r="F53" s="6">
        <v>1</v>
      </c>
      <c r="G53" s="6">
        <v>0</v>
      </c>
    </row>
    <row r="54" spans="1:7" ht="22" customHeight="1" x14ac:dyDescent="0.2">
      <c r="A54" s="6" t="s">
        <v>153</v>
      </c>
      <c r="B54" s="7"/>
      <c r="C54" s="7"/>
      <c r="D54" s="7" t="s">
        <v>154</v>
      </c>
      <c r="E54" s="7" t="s">
        <v>155</v>
      </c>
      <c r="F54" s="6" t="s">
        <v>19</v>
      </c>
      <c r="G54" s="6" t="s">
        <v>156</v>
      </c>
    </row>
    <row r="55" spans="1:7" ht="22" customHeight="1" x14ac:dyDescent="0.2">
      <c r="A55" s="6" t="s">
        <v>157</v>
      </c>
      <c r="B55" s="7"/>
      <c r="C55" s="7"/>
      <c r="D55" s="7" t="s">
        <v>158</v>
      </c>
      <c r="E55" s="7" t="s">
        <v>246</v>
      </c>
      <c r="F55" s="6">
        <v>4</v>
      </c>
      <c r="G55" s="6" t="s">
        <v>20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rightToLeft="1" topLeftCell="A3" zoomScaleNormal="70" workbookViewId="0">
      <selection activeCell="E30" sqref="E30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11" width="12" customWidth="1"/>
  </cols>
  <sheetData>
    <row r="1" spans="1:15" ht="45" customHeight="1" x14ac:dyDescent="0.2">
      <c r="A1" s="57" t="s">
        <v>159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28" customHeight="1" x14ac:dyDescent="0.2">
      <c r="A2" s="1" t="s">
        <v>2</v>
      </c>
      <c r="B2" s="1" t="s">
        <v>160</v>
      </c>
      <c r="C2" s="1" t="s">
        <v>7</v>
      </c>
      <c r="D2" s="8" t="s">
        <v>161</v>
      </c>
      <c r="E2" s="8" t="s">
        <v>162</v>
      </c>
      <c r="F2" s="8" t="s">
        <v>163</v>
      </c>
      <c r="G2" s="8" t="s">
        <v>164</v>
      </c>
      <c r="H2" s="8" t="s">
        <v>165</v>
      </c>
      <c r="I2" s="8" t="s">
        <v>166</v>
      </c>
      <c r="J2" s="8" t="s">
        <v>167</v>
      </c>
      <c r="K2" s="8" t="s">
        <v>168</v>
      </c>
      <c r="L2" s="51">
        <v>46296</v>
      </c>
      <c r="M2" s="51">
        <v>46327</v>
      </c>
      <c r="N2" s="51">
        <v>46357</v>
      </c>
      <c r="O2" s="51">
        <v>46023</v>
      </c>
    </row>
    <row r="3" spans="1:15" ht="22" customHeight="1" x14ac:dyDescent="0.2">
      <c r="A3" s="58" t="s">
        <v>169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2" customHeight="1" x14ac:dyDescent="0.2">
      <c r="A4" s="9" t="s">
        <v>13</v>
      </c>
      <c r="B4" s="10" t="s">
        <v>170</v>
      </c>
      <c r="C4" s="11" t="s">
        <v>128</v>
      </c>
      <c r="D4" s="12"/>
      <c r="E4" s="52"/>
      <c r="F4" s="13"/>
      <c r="G4" s="13"/>
      <c r="H4" s="13"/>
      <c r="I4" s="13"/>
      <c r="J4" s="13"/>
      <c r="K4" s="13"/>
      <c r="L4" s="49"/>
      <c r="M4" s="49"/>
      <c r="N4" s="49"/>
      <c r="O4" s="49"/>
    </row>
    <row r="5" spans="1:15" ht="22" customHeight="1" x14ac:dyDescent="0.2">
      <c r="A5" s="9" t="s">
        <v>24</v>
      </c>
      <c r="B5" s="10" t="s">
        <v>25</v>
      </c>
      <c r="C5" s="11" t="s">
        <v>256</v>
      </c>
      <c r="D5" s="12"/>
      <c r="E5" s="52"/>
      <c r="F5" s="13"/>
      <c r="G5" s="13"/>
      <c r="H5" s="13"/>
      <c r="I5" s="13"/>
      <c r="J5" s="13"/>
      <c r="K5" s="13"/>
      <c r="L5" s="49"/>
      <c r="M5" s="49"/>
      <c r="N5" s="49"/>
      <c r="O5" s="49"/>
    </row>
    <row r="6" spans="1:15" ht="22" customHeight="1" x14ac:dyDescent="0.2">
      <c r="A6" s="9" t="s">
        <v>171</v>
      </c>
      <c r="B6" s="10" t="s">
        <v>172</v>
      </c>
      <c r="C6" s="11" t="s">
        <v>251</v>
      </c>
      <c r="D6" s="13"/>
      <c r="E6" s="12"/>
      <c r="F6" s="12"/>
      <c r="G6" s="13"/>
      <c r="H6" s="13"/>
      <c r="I6" s="13"/>
      <c r="J6" s="13"/>
      <c r="K6" s="13"/>
      <c r="L6" s="49"/>
      <c r="M6" s="49"/>
      <c r="N6" s="49"/>
      <c r="O6" s="49"/>
    </row>
    <row r="7" spans="1:15" ht="22" customHeight="1" x14ac:dyDescent="0.2">
      <c r="A7" s="9" t="s">
        <v>173</v>
      </c>
      <c r="B7" s="10" t="s">
        <v>174</v>
      </c>
      <c r="C7" s="11" t="s">
        <v>128</v>
      </c>
      <c r="D7" s="13"/>
      <c r="E7" s="13"/>
      <c r="F7" s="12"/>
      <c r="G7" s="12"/>
      <c r="H7" s="12"/>
      <c r="I7" s="13"/>
      <c r="J7" s="13"/>
      <c r="K7" s="13"/>
      <c r="L7" s="49"/>
      <c r="M7" s="49"/>
      <c r="N7" s="49"/>
      <c r="O7" s="49"/>
    </row>
    <row r="8" spans="1:15" ht="22" customHeight="1" x14ac:dyDescent="0.2">
      <c r="A8" s="60" t="s">
        <v>175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</row>
    <row r="9" spans="1:15" ht="22" customHeight="1" x14ac:dyDescent="0.2">
      <c r="A9" s="9" t="s">
        <v>47</v>
      </c>
      <c r="B9" s="10" t="s">
        <v>176</v>
      </c>
      <c r="C9" s="11" t="s">
        <v>257</v>
      </c>
      <c r="D9" s="13"/>
      <c r="E9" s="12"/>
      <c r="F9" s="12"/>
      <c r="G9" s="13"/>
      <c r="H9" s="13"/>
      <c r="I9" s="13"/>
      <c r="J9" s="13"/>
      <c r="K9" s="13"/>
      <c r="L9" s="49"/>
      <c r="M9" s="49"/>
      <c r="N9" s="49"/>
      <c r="O9" s="49"/>
    </row>
    <row r="10" spans="1:15" ht="22" customHeight="1" x14ac:dyDescent="0.2">
      <c r="A10" s="9" t="s">
        <v>177</v>
      </c>
      <c r="B10" s="10" t="s">
        <v>178</v>
      </c>
      <c r="C10" s="11" t="s">
        <v>255</v>
      </c>
      <c r="D10" s="13"/>
      <c r="E10" s="13"/>
      <c r="F10" s="12"/>
      <c r="G10" s="12"/>
      <c r="H10" s="12"/>
      <c r="I10" s="13"/>
      <c r="J10" s="13"/>
      <c r="K10" s="13"/>
      <c r="L10" s="49"/>
      <c r="M10" s="49"/>
      <c r="N10" s="49"/>
      <c r="O10" s="49"/>
    </row>
    <row r="11" spans="1:15" ht="22" customHeight="1" x14ac:dyDescent="0.2">
      <c r="A11" s="9" t="s">
        <v>179</v>
      </c>
      <c r="B11" s="10" t="s">
        <v>180</v>
      </c>
      <c r="C11" s="11" t="s">
        <v>257</v>
      </c>
      <c r="D11" s="13"/>
      <c r="E11" s="13"/>
      <c r="F11" s="13"/>
      <c r="G11" s="12"/>
      <c r="H11" s="12"/>
      <c r="I11" s="12"/>
      <c r="J11" s="13"/>
      <c r="K11" s="13"/>
      <c r="L11" s="49"/>
      <c r="M11" s="49"/>
      <c r="N11" s="49"/>
      <c r="O11" s="49"/>
    </row>
    <row r="12" spans="1:15" ht="22" customHeight="1" x14ac:dyDescent="0.2">
      <c r="A12" s="9" t="s">
        <v>181</v>
      </c>
      <c r="B12" s="10" t="s">
        <v>182</v>
      </c>
      <c r="C12" s="11" t="s">
        <v>257</v>
      </c>
      <c r="D12" s="13"/>
      <c r="E12" s="13"/>
      <c r="F12" s="13"/>
      <c r="G12" s="12"/>
      <c r="H12" s="12"/>
      <c r="I12" s="12"/>
      <c r="J12" s="13"/>
      <c r="K12" s="13"/>
      <c r="L12" s="49"/>
      <c r="M12" s="49"/>
      <c r="N12" s="49"/>
      <c r="O12" s="49"/>
    </row>
    <row r="13" spans="1:15" ht="22" customHeight="1" x14ac:dyDescent="0.2">
      <c r="A13" s="9" t="s">
        <v>183</v>
      </c>
      <c r="B13" s="10" t="s">
        <v>184</v>
      </c>
      <c r="C13" s="11" t="s">
        <v>256</v>
      </c>
      <c r="D13" s="13"/>
      <c r="E13" s="13"/>
      <c r="F13" s="13"/>
      <c r="G13" s="12"/>
      <c r="H13" s="12"/>
      <c r="I13" s="12"/>
      <c r="J13" s="13"/>
      <c r="K13" s="13"/>
      <c r="L13" s="49"/>
      <c r="M13" s="49"/>
      <c r="N13" s="49"/>
      <c r="O13" s="49"/>
    </row>
    <row r="14" spans="1:15" ht="22" customHeight="1" x14ac:dyDescent="0.2">
      <c r="A14" s="9" t="s">
        <v>185</v>
      </c>
      <c r="B14" s="10" t="s">
        <v>266</v>
      </c>
      <c r="C14" s="11" t="s">
        <v>255</v>
      </c>
      <c r="D14" s="13"/>
      <c r="E14" s="13"/>
      <c r="F14" s="13"/>
      <c r="G14" s="12"/>
      <c r="H14" s="12"/>
      <c r="I14" s="12"/>
      <c r="J14" s="13"/>
      <c r="K14" s="13"/>
      <c r="L14" s="49"/>
      <c r="M14" s="49"/>
      <c r="N14" s="49"/>
      <c r="O14" s="49"/>
    </row>
    <row r="15" spans="1:15" ht="22" customHeight="1" x14ac:dyDescent="0.2">
      <c r="A15" s="9" t="s">
        <v>186</v>
      </c>
      <c r="B15" s="10" t="s">
        <v>187</v>
      </c>
      <c r="C15" s="11" t="s">
        <v>255</v>
      </c>
      <c r="D15" s="13"/>
      <c r="E15" s="13"/>
      <c r="F15" s="13"/>
      <c r="G15" s="13"/>
      <c r="H15" s="13"/>
      <c r="I15" s="12"/>
      <c r="J15" s="12"/>
      <c r="K15" s="13"/>
      <c r="L15" s="49"/>
      <c r="M15" s="49"/>
      <c r="N15" s="49"/>
      <c r="O15" s="49"/>
    </row>
    <row r="16" spans="1:15" ht="22" customHeight="1" x14ac:dyDescent="0.2">
      <c r="A16" s="60" t="s">
        <v>188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spans="1:15" ht="22" customHeight="1" x14ac:dyDescent="0.2">
      <c r="A17" s="9" t="s">
        <v>104</v>
      </c>
      <c r="B17" s="10" t="s">
        <v>189</v>
      </c>
      <c r="C17" s="11" t="s">
        <v>255</v>
      </c>
      <c r="D17" s="13"/>
      <c r="E17" s="13"/>
      <c r="F17" s="13"/>
      <c r="G17" s="13"/>
      <c r="H17" s="13"/>
      <c r="I17" s="12"/>
      <c r="J17" s="12"/>
      <c r="K17" s="13"/>
      <c r="L17" s="49"/>
      <c r="M17" s="49"/>
      <c r="N17" s="49"/>
      <c r="O17" s="49"/>
    </row>
    <row r="18" spans="1:15" ht="22" customHeight="1" x14ac:dyDescent="0.2">
      <c r="A18" s="9" t="s">
        <v>190</v>
      </c>
      <c r="B18" s="10" t="s">
        <v>191</v>
      </c>
      <c r="C18" s="11" t="s">
        <v>254</v>
      </c>
      <c r="D18" s="13"/>
      <c r="E18" s="13"/>
      <c r="F18" s="13"/>
      <c r="G18" s="13"/>
      <c r="H18" s="13"/>
      <c r="I18" s="13"/>
      <c r="J18" s="12"/>
      <c r="K18" s="12"/>
      <c r="L18" s="49"/>
      <c r="M18" s="49"/>
      <c r="N18" s="49"/>
      <c r="O18" s="49"/>
    </row>
    <row r="19" spans="1:15" ht="22" customHeight="1" x14ac:dyDescent="0.2">
      <c r="A19" s="9">
        <v>2.1</v>
      </c>
      <c r="B19" s="10" t="s">
        <v>119</v>
      </c>
      <c r="C19" s="11" t="s">
        <v>259</v>
      </c>
      <c r="D19" s="13"/>
      <c r="E19" s="13"/>
      <c r="F19" s="13"/>
      <c r="G19" s="13"/>
      <c r="H19" s="13"/>
      <c r="I19" s="13"/>
      <c r="J19" s="12"/>
      <c r="K19" s="52"/>
      <c r="L19" s="49"/>
      <c r="M19" s="49"/>
      <c r="N19" s="49"/>
      <c r="O19" s="49"/>
    </row>
    <row r="20" spans="1:15" ht="22" customHeight="1" x14ac:dyDescent="0.2">
      <c r="A20" s="9" t="s">
        <v>122</v>
      </c>
      <c r="B20" s="10" t="s">
        <v>192</v>
      </c>
      <c r="C20" s="11" t="s">
        <v>128</v>
      </c>
      <c r="D20" s="13"/>
      <c r="E20" s="13"/>
      <c r="F20" s="12"/>
      <c r="G20" s="12"/>
      <c r="H20" s="52"/>
      <c r="I20" s="52"/>
      <c r="J20" s="13"/>
      <c r="K20" s="13"/>
      <c r="L20" s="49"/>
      <c r="M20" s="49"/>
      <c r="N20" s="49"/>
      <c r="O20" s="49"/>
    </row>
    <row r="21" spans="1:15" ht="22" customHeight="1" x14ac:dyDescent="0.2">
      <c r="A21" s="9" t="s">
        <v>193</v>
      </c>
      <c r="B21" s="10" t="s">
        <v>194</v>
      </c>
      <c r="C21" s="11" t="s">
        <v>253</v>
      </c>
      <c r="D21" s="13"/>
      <c r="E21" s="52"/>
      <c r="F21" s="52"/>
      <c r="G21" s="52"/>
      <c r="H21" s="12"/>
      <c r="I21" s="13"/>
      <c r="J21" s="13"/>
      <c r="K21" s="13"/>
      <c r="L21" s="49"/>
      <c r="M21" s="49"/>
      <c r="N21" s="49"/>
      <c r="O21" s="49"/>
    </row>
    <row r="22" spans="1:15" ht="22" customHeight="1" x14ac:dyDescent="0.2">
      <c r="A22" s="9" t="s">
        <v>195</v>
      </c>
      <c r="B22" s="10" t="s">
        <v>144</v>
      </c>
      <c r="C22" s="11" t="s">
        <v>250</v>
      </c>
      <c r="D22" s="13"/>
      <c r="E22" s="13"/>
      <c r="F22" s="49"/>
      <c r="G22" s="49"/>
      <c r="H22" s="49"/>
      <c r="I22" s="49"/>
      <c r="J22" s="52"/>
      <c r="K22" s="52"/>
      <c r="L22" s="12"/>
      <c r="M22" s="12"/>
      <c r="N22" s="12"/>
      <c r="O22" s="12"/>
    </row>
    <row r="23" spans="1:15" ht="22" customHeight="1" x14ac:dyDescent="0.2">
      <c r="A23" s="9" t="s">
        <v>196</v>
      </c>
      <c r="B23" s="10" t="s">
        <v>197</v>
      </c>
      <c r="C23" s="11" t="s">
        <v>252</v>
      </c>
      <c r="D23" s="13"/>
      <c r="E23" s="13"/>
      <c r="F23" s="13"/>
      <c r="G23" s="12"/>
      <c r="H23" s="12"/>
      <c r="I23" s="12"/>
      <c r="J23" s="12"/>
      <c r="K23" s="12"/>
      <c r="L23" s="49"/>
      <c r="M23" s="49"/>
      <c r="N23" s="49"/>
      <c r="O23" s="49"/>
    </row>
    <row r="24" spans="1:15" ht="22" customHeight="1" x14ac:dyDescent="0.2">
      <c r="A24" s="9" t="s">
        <v>198</v>
      </c>
      <c r="B24" s="10" t="s">
        <v>199</v>
      </c>
      <c r="C24" s="11" t="s">
        <v>251</v>
      </c>
      <c r="D24" s="13"/>
      <c r="E24" s="13"/>
      <c r="F24" s="13"/>
      <c r="G24" s="13"/>
      <c r="H24" s="13"/>
      <c r="I24" s="13"/>
      <c r="J24" s="12"/>
      <c r="K24" s="12"/>
      <c r="L24" s="49"/>
      <c r="M24" s="49"/>
      <c r="N24" s="49"/>
      <c r="O24" s="49"/>
    </row>
    <row r="25" spans="1:15" ht="22" customHeight="1" x14ac:dyDescent="0.2">
      <c r="A25" s="60" t="s">
        <v>200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</row>
    <row r="26" spans="1:15" ht="22" customHeight="1" x14ac:dyDescent="0.2">
      <c r="A26" s="9"/>
      <c r="B26" s="10" t="s">
        <v>201</v>
      </c>
      <c r="C26" s="11" t="s">
        <v>128</v>
      </c>
      <c r="D26" s="13"/>
      <c r="E26" s="13"/>
      <c r="F26" s="13"/>
      <c r="G26" s="13"/>
      <c r="H26" s="12"/>
      <c r="I26" s="13"/>
      <c r="J26" s="13"/>
      <c r="K26" s="13"/>
      <c r="L26" s="49"/>
      <c r="M26" s="49"/>
      <c r="N26" s="49"/>
      <c r="O26" s="49"/>
    </row>
    <row r="27" spans="1:15" ht="22" customHeight="1" x14ac:dyDescent="0.2">
      <c r="A27" s="9"/>
      <c r="B27" s="10" t="s">
        <v>202</v>
      </c>
      <c r="C27" s="11" t="s">
        <v>128</v>
      </c>
      <c r="D27" s="13"/>
      <c r="E27" s="13"/>
      <c r="F27" s="13"/>
      <c r="G27" s="13"/>
      <c r="H27" s="13"/>
      <c r="I27" s="13"/>
      <c r="J27" s="13"/>
      <c r="K27" s="12"/>
      <c r="L27" s="49"/>
      <c r="M27" s="49"/>
      <c r="N27" s="49"/>
      <c r="O27" s="49"/>
    </row>
    <row r="29" spans="1:15" x14ac:dyDescent="0.2">
      <c r="A29" s="56"/>
      <c r="B29" s="54"/>
      <c r="C29" s="54"/>
    </row>
    <row r="30" spans="1:15" x14ac:dyDescent="0.2">
      <c r="A30" s="14" t="s">
        <v>203</v>
      </c>
      <c r="B30" s="15" t="s">
        <v>204</v>
      </c>
      <c r="C30" s="49"/>
      <c r="D30" s="15"/>
    </row>
  </sheetData>
  <mergeCells count="6">
    <mergeCell ref="A29:C29"/>
    <mergeCell ref="A1:O1"/>
    <mergeCell ref="A3:O3"/>
    <mergeCell ref="A8:O8"/>
    <mergeCell ref="A16:O16"/>
    <mergeCell ref="A25:O25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rightToLeft="1" zoomScale="75" workbookViewId="0">
      <selection activeCell="K20" sqref="K20"/>
    </sheetView>
  </sheetViews>
  <sheetFormatPr baseColWidth="10" defaultColWidth="8.83203125" defaultRowHeight="15" x14ac:dyDescent="0.2"/>
  <cols>
    <col min="1" max="1" width="32" customWidth="1"/>
    <col min="2" max="2" width="20" customWidth="1"/>
    <col min="3" max="14" width="13" customWidth="1"/>
    <col min="15" max="15" width="14" customWidth="1"/>
  </cols>
  <sheetData>
    <row r="1" spans="1:15" ht="45" customHeight="1" x14ac:dyDescent="0.2">
      <c r="A1" s="61" t="s">
        <v>205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28" customHeight="1" x14ac:dyDescent="0.2">
      <c r="A2" s="1" t="s">
        <v>206</v>
      </c>
      <c r="B2" s="1" t="s">
        <v>207</v>
      </c>
      <c r="C2" s="16" t="s">
        <v>161</v>
      </c>
      <c r="D2" s="16" t="s">
        <v>162</v>
      </c>
      <c r="E2" s="16" t="s">
        <v>163</v>
      </c>
      <c r="F2" s="16" t="s">
        <v>164</v>
      </c>
      <c r="G2" s="16" t="s">
        <v>165</v>
      </c>
      <c r="H2" s="16" t="s">
        <v>166</v>
      </c>
      <c r="I2" s="16" t="s">
        <v>167</v>
      </c>
      <c r="J2" s="16" t="s">
        <v>168</v>
      </c>
      <c r="K2" s="51" t="s">
        <v>267</v>
      </c>
      <c r="L2" s="51" t="s">
        <v>268</v>
      </c>
      <c r="M2" s="51" t="s">
        <v>269</v>
      </c>
      <c r="N2" s="51" t="s">
        <v>270</v>
      </c>
      <c r="O2" s="1" t="s">
        <v>208</v>
      </c>
    </row>
    <row r="3" spans="1:15" ht="22" customHeight="1" x14ac:dyDescent="0.2">
      <c r="A3" s="62" t="s">
        <v>209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5" ht="22" customHeight="1" x14ac:dyDescent="0.2">
      <c r="A4" s="17" t="s">
        <v>210</v>
      </c>
      <c r="B4" s="18" t="s">
        <v>211</v>
      </c>
      <c r="C4" s="19"/>
      <c r="D4" s="20"/>
      <c r="E4" s="20"/>
      <c r="F4" s="20"/>
      <c r="G4" s="20"/>
      <c r="H4" s="20"/>
      <c r="I4" s="20"/>
      <c r="J4" s="20"/>
      <c r="K4" s="20">
        <v>1500</v>
      </c>
      <c r="L4" s="20">
        <v>1500</v>
      </c>
      <c r="M4" s="20">
        <v>1500</v>
      </c>
      <c r="N4" s="20">
        <v>1500</v>
      </c>
      <c r="O4" s="21">
        <f>SUM(C4:N4)</f>
        <v>6000</v>
      </c>
    </row>
    <row r="5" spans="1:15" ht="22" customHeight="1" x14ac:dyDescent="0.2">
      <c r="A5" s="22" t="s">
        <v>212</v>
      </c>
      <c r="B5" s="23" t="s">
        <v>213</v>
      </c>
      <c r="C5" s="24"/>
      <c r="D5" s="25"/>
      <c r="E5" s="25"/>
      <c r="F5" s="25"/>
      <c r="G5" s="25"/>
      <c r="H5" s="25"/>
      <c r="I5" s="25"/>
      <c r="J5" s="25"/>
      <c r="K5" s="25">
        <v>100</v>
      </c>
      <c r="L5" s="25">
        <v>100</v>
      </c>
      <c r="M5" s="25">
        <v>100</v>
      </c>
      <c r="N5" s="25">
        <v>100</v>
      </c>
      <c r="O5" s="26">
        <f>SUM(C5:N5)</f>
        <v>400</v>
      </c>
    </row>
    <row r="6" spans="1:15" ht="22" customHeight="1" x14ac:dyDescent="0.2">
      <c r="A6" s="17" t="s">
        <v>249</v>
      </c>
      <c r="B6" s="18" t="s">
        <v>211</v>
      </c>
      <c r="C6" s="19"/>
      <c r="D6" s="19"/>
      <c r="E6" s="19"/>
      <c r="F6" s="20"/>
      <c r="G6" s="20"/>
      <c r="H6" s="20"/>
      <c r="I6" s="20"/>
      <c r="J6" s="19"/>
      <c r="K6" s="19">
        <v>500</v>
      </c>
      <c r="L6" s="19">
        <v>500</v>
      </c>
      <c r="M6" s="19">
        <v>500</v>
      </c>
      <c r="N6" s="19">
        <v>500</v>
      </c>
      <c r="O6" s="21">
        <f>SUM(C6:N6)</f>
        <v>2000</v>
      </c>
    </row>
    <row r="7" spans="1:15" ht="22" customHeight="1" x14ac:dyDescent="0.2">
      <c r="A7" s="62" t="s">
        <v>278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</row>
    <row r="8" spans="1:15" ht="22" customHeight="1" x14ac:dyDescent="0.2">
      <c r="A8" s="22" t="s">
        <v>214</v>
      </c>
      <c r="B8" s="23" t="s">
        <v>213</v>
      </c>
      <c r="C8" s="25"/>
      <c r="D8" s="25"/>
      <c r="E8" s="25"/>
      <c r="F8" s="24"/>
      <c r="G8" s="25"/>
      <c r="H8" s="25"/>
      <c r="I8" s="25"/>
      <c r="J8" s="25"/>
      <c r="K8" s="25">
        <v>1000</v>
      </c>
      <c r="L8" s="25"/>
      <c r="M8" s="25"/>
      <c r="N8" s="25"/>
      <c r="O8" s="26">
        <f>SUM(C8:N8)</f>
        <v>1000</v>
      </c>
    </row>
    <row r="9" spans="1:15" ht="22" customHeight="1" x14ac:dyDescent="0.2">
      <c r="A9" s="17" t="s">
        <v>215</v>
      </c>
      <c r="B9" s="18" t="s">
        <v>211</v>
      </c>
      <c r="C9" s="19"/>
      <c r="D9" s="19"/>
      <c r="E9" s="20"/>
      <c r="F9" s="20"/>
      <c r="G9" s="20"/>
      <c r="H9" s="19"/>
      <c r="I9" s="19"/>
      <c r="J9" s="19"/>
      <c r="K9" s="20">
        <v>200</v>
      </c>
      <c r="L9" s="20">
        <v>200</v>
      </c>
      <c r="M9" s="20">
        <v>200</v>
      </c>
      <c r="N9" s="20">
        <v>200</v>
      </c>
      <c r="O9" s="21">
        <f>SUM(C9:N9)</f>
        <v>800</v>
      </c>
    </row>
    <row r="10" spans="1:15" ht="22" customHeight="1" x14ac:dyDescent="0.2">
      <c r="A10" s="62" t="s">
        <v>216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</row>
    <row r="11" spans="1:15" ht="22" customHeight="1" x14ac:dyDescent="0.2">
      <c r="A11" s="22" t="s">
        <v>217</v>
      </c>
      <c r="B11" s="23" t="s">
        <v>213</v>
      </c>
      <c r="C11" s="25"/>
      <c r="D11" s="25"/>
      <c r="E11" s="25"/>
      <c r="F11" s="25"/>
      <c r="G11" s="25"/>
      <c r="H11" s="25"/>
      <c r="I11" s="24"/>
      <c r="J11" s="25">
        <v>1500</v>
      </c>
      <c r="K11" s="25"/>
      <c r="L11" s="25"/>
      <c r="M11" s="25"/>
      <c r="N11" s="25"/>
      <c r="O11" s="26">
        <f>SUM(C11:N11)</f>
        <v>1500</v>
      </c>
    </row>
    <row r="12" spans="1:15" ht="22" hidden="1" customHeight="1" x14ac:dyDescent="0.2">
      <c r="A12" s="22" t="s">
        <v>218</v>
      </c>
      <c r="B12" s="23" t="s">
        <v>213</v>
      </c>
      <c r="C12" s="25"/>
      <c r="D12" s="25"/>
      <c r="E12" s="25"/>
      <c r="F12" s="25"/>
      <c r="G12" s="25"/>
      <c r="H12" s="25"/>
      <c r="I12" s="24"/>
      <c r="J12" s="25">
        <v>200</v>
      </c>
      <c r="K12" s="25"/>
      <c r="L12" s="25"/>
      <c r="M12" s="25"/>
      <c r="N12" s="25"/>
      <c r="O12" s="26">
        <f>SUM(C12:J12)</f>
        <v>200</v>
      </c>
    </row>
    <row r="13" spans="1:15" ht="22" hidden="1" customHeight="1" x14ac:dyDescent="0.2">
      <c r="A13" s="62" t="s">
        <v>219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</row>
    <row r="14" spans="1:15" ht="22" customHeight="1" x14ac:dyDescent="0.2">
      <c r="A14" s="17" t="s">
        <v>220</v>
      </c>
      <c r="B14" s="18" t="s">
        <v>213</v>
      </c>
      <c r="C14" s="19"/>
      <c r="D14" s="20">
        <v>100</v>
      </c>
      <c r="E14" s="20">
        <v>100</v>
      </c>
      <c r="F14" s="19"/>
      <c r="G14" s="19"/>
      <c r="H14" s="19"/>
      <c r="I14" s="19"/>
      <c r="J14" s="19"/>
      <c r="K14" s="19"/>
      <c r="L14" s="19"/>
      <c r="M14" s="19"/>
      <c r="N14" s="19"/>
      <c r="O14" s="21">
        <f>SUM(C14:J14)</f>
        <v>200</v>
      </c>
    </row>
    <row r="15" spans="1:15" ht="22" customHeight="1" x14ac:dyDescent="0.2">
      <c r="A15" s="62" t="s">
        <v>221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 spans="1:15" ht="22" customHeight="1" x14ac:dyDescent="0.2">
      <c r="A16" s="17" t="s">
        <v>222</v>
      </c>
      <c r="B16" s="18" t="s">
        <v>211</v>
      </c>
      <c r="C16" s="20"/>
      <c r="D16" s="20"/>
      <c r="E16" s="20"/>
      <c r="F16" s="20"/>
      <c r="G16" s="20"/>
      <c r="H16" s="20"/>
      <c r="I16" s="20">
        <v>50</v>
      </c>
      <c r="J16" s="20">
        <v>50</v>
      </c>
      <c r="K16" s="20"/>
      <c r="L16" s="20"/>
      <c r="M16" s="20"/>
      <c r="N16" s="20"/>
      <c r="O16" s="21">
        <f>SUM(C16:N16)</f>
        <v>100</v>
      </c>
    </row>
    <row r="17" spans="1:15" x14ac:dyDescent="0.2">
      <c r="A17" s="17" t="s">
        <v>271</v>
      </c>
      <c r="B17" s="18" t="s">
        <v>211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1">
        <f>SUM(C17:N17)</f>
        <v>0</v>
      </c>
    </row>
    <row r="18" spans="1:15" ht="24" customHeight="1" x14ac:dyDescent="0.2"/>
    <row r="19" spans="1:15" ht="24" customHeight="1" x14ac:dyDescent="0.2">
      <c r="A19" s="27" t="s">
        <v>223</v>
      </c>
      <c r="B19" s="28"/>
      <c r="C19" s="29">
        <f>C4+C6+C9+C14+C16+C17</f>
        <v>0</v>
      </c>
      <c r="D19" s="29">
        <v>0</v>
      </c>
      <c r="E19" s="29">
        <v>0</v>
      </c>
      <c r="F19" s="29">
        <f>F4+F6+F9+F14+F16+F17</f>
        <v>0</v>
      </c>
      <c r="G19" s="29">
        <f>G4+G6+G9+G14+G16+G17</f>
        <v>0</v>
      </c>
      <c r="H19" s="29">
        <f>H4+H6+H9+H14+H16+H17</f>
        <v>0</v>
      </c>
      <c r="I19" s="29">
        <f>I4+I6+I9+I14+I16+I17</f>
        <v>50</v>
      </c>
      <c r="J19" s="29">
        <f>J4+J6+J9+J14+J16+J17</f>
        <v>50</v>
      </c>
      <c r="K19" s="29">
        <f>K4+K6+K9+K14+K16+K17</f>
        <v>2200</v>
      </c>
      <c r="L19" s="29">
        <f>L4+L6+L9+L14+L16+L17</f>
        <v>2200</v>
      </c>
      <c r="M19" s="29">
        <f>M4+M6+M9+M14+M16+M17</f>
        <v>2200</v>
      </c>
      <c r="N19" s="29">
        <f>N4+N6+N9+N14+N16+N17</f>
        <v>2200</v>
      </c>
      <c r="O19" s="30">
        <f>SUM(C19:J19)</f>
        <v>100</v>
      </c>
    </row>
    <row r="20" spans="1:15" ht="28" customHeight="1" x14ac:dyDescent="0.2">
      <c r="A20" s="31" t="s">
        <v>224</v>
      </c>
      <c r="B20" s="32"/>
      <c r="C20" s="33">
        <f>C5+C8+C11+C19</f>
        <v>0</v>
      </c>
      <c r="D20" s="33">
        <f>D5+D8+D11+D12</f>
        <v>0</v>
      </c>
      <c r="E20" s="33">
        <f>E5+E8+E11+E19</f>
        <v>0</v>
      </c>
      <c r="F20" s="33">
        <f>F5+F8+F11+F12</f>
        <v>0</v>
      </c>
      <c r="G20" s="33">
        <f>G5+G8+G11+G19</f>
        <v>0</v>
      </c>
      <c r="H20" s="33">
        <f>H5+H8+H11+H12</f>
        <v>0</v>
      </c>
      <c r="I20" s="33">
        <v>0</v>
      </c>
      <c r="J20" s="33">
        <f>J5+J8+J11+J12</f>
        <v>1700</v>
      </c>
      <c r="K20" s="33">
        <f>K5+K8+K11+K19</f>
        <v>3300</v>
      </c>
      <c r="L20" s="33">
        <f>L5+L8+L11+L12</f>
        <v>100</v>
      </c>
      <c r="M20" s="33">
        <f>M5+M8+M11+M19</f>
        <v>2300</v>
      </c>
      <c r="N20" s="33">
        <f>N5+N8+N11+N12</f>
        <v>100</v>
      </c>
      <c r="O20" s="33">
        <f>O5+O8+O11+O19</f>
        <v>3000</v>
      </c>
    </row>
    <row r="21" spans="1:15" ht="17" x14ac:dyDescent="0.2">
      <c r="A21" s="34" t="s">
        <v>225</v>
      </c>
      <c r="B21" s="35"/>
      <c r="C21" s="36">
        <f t="shared" ref="C21:O21" si="0">C19+C20</f>
        <v>0</v>
      </c>
      <c r="D21" s="36">
        <f t="shared" si="0"/>
        <v>0</v>
      </c>
      <c r="E21" s="36">
        <f t="shared" si="0"/>
        <v>0</v>
      </c>
      <c r="F21" s="36">
        <f t="shared" si="0"/>
        <v>0</v>
      </c>
      <c r="G21" s="36">
        <f t="shared" si="0"/>
        <v>0</v>
      </c>
      <c r="H21" s="36">
        <f t="shared" si="0"/>
        <v>0</v>
      </c>
      <c r="I21" s="36">
        <f t="shared" si="0"/>
        <v>50</v>
      </c>
      <c r="J21" s="36">
        <f t="shared" si="0"/>
        <v>1750</v>
      </c>
      <c r="K21" s="36">
        <f t="shared" si="0"/>
        <v>5500</v>
      </c>
      <c r="L21" s="36">
        <f t="shared" si="0"/>
        <v>2300</v>
      </c>
      <c r="M21" s="36">
        <f t="shared" si="0"/>
        <v>4500</v>
      </c>
      <c r="N21" s="36">
        <f t="shared" si="0"/>
        <v>2300</v>
      </c>
      <c r="O21" s="37">
        <f t="shared" si="0"/>
        <v>3100</v>
      </c>
    </row>
    <row r="23" spans="1:15" x14ac:dyDescent="0.2">
      <c r="A23" s="56" t="s">
        <v>226</v>
      </c>
      <c r="B23" s="54"/>
      <c r="C23" s="54"/>
    </row>
    <row r="24" spans="1:15" ht="28" x14ac:dyDescent="0.2">
      <c r="A24" s="38" t="s">
        <v>203</v>
      </c>
      <c r="B24" s="15" t="s">
        <v>227</v>
      </c>
    </row>
    <row r="25" spans="1:15" x14ac:dyDescent="0.2">
      <c r="A25" s="39" t="s">
        <v>203</v>
      </c>
      <c r="B25" s="15" t="s">
        <v>228</v>
      </c>
    </row>
  </sheetData>
  <mergeCells count="7">
    <mergeCell ref="A23:C23"/>
    <mergeCell ref="A1:O1"/>
    <mergeCell ref="A15:O15"/>
    <mergeCell ref="A3:O3"/>
    <mergeCell ref="A13:O13"/>
    <mergeCell ref="A7:O7"/>
    <mergeCell ref="A10:O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rightToLeft="1" workbookViewId="0">
      <selection activeCell="C6" sqref="C6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18" customWidth="1"/>
    <col min="4" max="4" width="40" customWidth="1"/>
    <col min="5" max="5" width="35" customWidth="1"/>
  </cols>
  <sheetData>
    <row r="1" spans="1:5" ht="45" customHeight="1" x14ac:dyDescent="0.2">
      <c r="A1" s="61" t="s">
        <v>229</v>
      </c>
      <c r="B1" s="54"/>
      <c r="C1" s="54"/>
      <c r="D1" s="54"/>
      <c r="E1" s="54"/>
    </row>
    <row r="2" spans="1:5" ht="28" customHeight="1" x14ac:dyDescent="0.2">
      <c r="A2" s="40" t="s">
        <v>2</v>
      </c>
      <c r="B2" s="40" t="s">
        <v>230</v>
      </c>
      <c r="C2" s="40" t="s">
        <v>231</v>
      </c>
      <c r="D2" s="40" t="s">
        <v>232</v>
      </c>
      <c r="E2" s="40" t="s">
        <v>233</v>
      </c>
    </row>
    <row r="3" spans="1:5" ht="90" customHeight="1" x14ac:dyDescent="0.2">
      <c r="A3" s="41" t="s">
        <v>10</v>
      </c>
      <c r="B3" s="42" t="s">
        <v>237</v>
      </c>
      <c r="C3" s="43" t="s">
        <v>234</v>
      </c>
      <c r="D3" s="44" t="s">
        <v>241</v>
      </c>
      <c r="E3" s="44" t="s">
        <v>240</v>
      </c>
    </row>
    <row r="4" spans="1:5" ht="90" customHeight="1" x14ac:dyDescent="0.2">
      <c r="A4" s="41" t="s">
        <v>19</v>
      </c>
      <c r="B4" s="42" t="s">
        <v>247</v>
      </c>
      <c r="C4" s="43" t="s">
        <v>235</v>
      </c>
      <c r="D4" s="44" t="s">
        <v>239</v>
      </c>
      <c r="E4" s="44" t="s">
        <v>248</v>
      </c>
    </row>
    <row r="5" spans="1:5" ht="90" customHeight="1" x14ac:dyDescent="0.2">
      <c r="A5" s="45" t="s">
        <v>43</v>
      </c>
      <c r="B5" s="46" t="s">
        <v>272</v>
      </c>
      <c r="C5" s="47" t="s">
        <v>236</v>
      </c>
      <c r="D5" s="48" t="s">
        <v>274</v>
      </c>
      <c r="E5" s="48" t="s">
        <v>238</v>
      </c>
    </row>
    <row r="6" spans="1:5" ht="90" customHeight="1" x14ac:dyDescent="0.2">
      <c r="A6" s="45" t="s">
        <v>132</v>
      </c>
      <c r="B6" s="46" t="s">
        <v>273</v>
      </c>
      <c r="C6" s="50" t="s">
        <v>275</v>
      </c>
      <c r="D6" s="48" t="s">
        <v>277</v>
      </c>
      <c r="E6" s="48" t="s">
        <v>276</v>
      </c>
    </row>
    <row r="8" spans="1:5" x14ac:dyDescent="0.2">
      <c r="A8" s="63"/>
      <c r="B8" s="54"/>
      <c r="C8" s="54"/>
      <c r="D8" s="54"/>
      <c r="E8" s="54"/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 - תרשים עץ</vt:lpstr>
      <vt:lpstr>לוח זמנים - גאנט</vt:lpstr>
      <vt:lpstr>תקציב</vt:lpstr>
      <vt:lpstr>אבני דרך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Omri Shtruzer</cp:lastModifiedBy>
  <dcterms:created xsi:type="dcterms:W3CDTF">2026-04-21T10:23:57Z</dcterms:created>
  <dcterms:modified xsi:type="dcterms:W3CDTF">2026-05-05T19:34:58Z</dcterms:modified>
</cp:coreProperties>
</file>